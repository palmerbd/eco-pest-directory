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reach Tracker" sheetId="1" state="visible" r:id="rId3"/>
    <sheet name="Campaign Stats" sheetId="2" state="visible" r:id="rId4"/>
    <sheet name="Email Templa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<sst xmlns="http://schemas.openxmlformats.org/spreadsheetml/2006/main" count="257" uniqueCount="114">
  <si>
    <t xml:space="preserve">🕺  Ballroom Dance Directory — Studio Outreach Tracker</t>
  </si>
  <si>
    <t xml:space="preserve">Studio Name</t>
  </si>
  <si>
    <t xml:space="preserve">City</t>
  </si>
  <si>
    <t xml:space="preserve">State</t>
  </si>
  <si>
    <t xml:space="preserve">Chain Type</t>
  </si>
  <si>
    <t xml:space="preserve">Website</t>
  </si>
  <si>
    <t xml:space="preserve">Contact Name</t>
  </si>
  <si>
    <t xml:space="preserve">Email</t>
  </si>
  <si>
    <t xml:space="preserve">Phone</t>
  </si>
  <si>
    <t xml:space="preserve">Email 1 Sent</t>
  </si>
  <si>
    <t xml:space="preserve">Email 2 Sent</t>
  </si>
  <si>
    <t xml:space="preserve">Email 3 Sent</t>
  </si>
  <si>
    <t xml:space="preserve">Status</t>
  </si>
  <si>
    <t xml:space="preserve">Claimed?</t>
  </si>
  <si>
    <t xml:space="preserve">Tier</t>
  </si>
  <si>
    <t xml:space="preserve">Notes</t>
  </si>
  <si>
    <t xml:space="preserve">Last Updated</t>
  </si>
  <si>
    <t xml:space="preserve">Beverly Hills Ballroom</t>
  </si>
  <si>
    <t xml:space="preserve">Los Angeles</t>
  </si>
  <si>
    <t xml:space="preserve">CA</t>
  </si>
  <si>
    <t xml:space="preserve">Independent</t>
  </si>
  <si>
    <t xml:space="preserve">bevhillsballroom.com</t>
  </si>
  <si>
    <t xml:space="preserve">Not Started</t>
  </si>
  <si>
    <t xml:space="preserve">No</t>
  </si>
  <si>
    <t xml:space="preserve">free</t>
  </si>
  <si>
    <t xml:space="preserve">Fred Astaire — Beverly Hills</t>
  </si>
  <si>
    <t xml:space="preserve">Fred Astaire</t>
  </si>
  <si>
    <t xml:space="preserve">fredastaire.com</t>
  </si>
  <si>
    <t xml:space="preserve">Arthur Murray — West Hollywood</t>
  </si>
  <si>
    <t xml:space="preserve">Arthur Murray</t>
  </si>
  <si>
    <t xml:space="preserve">arthurmurray.com</t>
  </si>
  <si>
    <t xml:space="preserve">L.A. Dance Studio</t>
  </si>
  <si>
    <t xml:space="preserve">Dance With Me — Santa Monica</t>
  </si>
  <si>
    <t xml:space="preserve">Dance With Me</t>
  </si>
  <si>
    <t xml:space="preserve">dancewithmestudios.com</t>
  </si>
  <si>
    <t xml:space="preserve">Miami Ballroom Academy</t>
  </si>
  <si>
    <t xml:space="preserve">Miami</t>
  </si>
  <si>
    <t xml:space="preserve">FL</t>
  </si>
  <si>
    <t xml:space="preserve">Fred Astaire — Coral Gables</t>
  </si>
  <si>
    <t xml:space="preserve">Arthur Murray — Brickell</t>
  </si>
  <si>
    <t xml:space="preserve">South Beach Dance Studio</t>
  </si>
  <si>
    <t xml:space="preserve">Latin Motion Dance</t>
  </si>
  <si>
    <t xml:space="preserve">DFW Ballroom</t>
  </si>
  <si>
    <t xml:space="preserve">Dallas</t>
  </si>
  <si>
    <t xml:space="preserve">TX</t>
  </si>
  <si>
    <t xml:space="preserve">Fred Astaire — Plano</t>
  </si>
  <si>
    <t xml:space="preserve">Plano</t>
  </si>
  <si>
    <t xml:space="preserve">Arthur Murray — Frisco</t>
  </si>
  <si>
    <t xml:space="preserve">Frisco</t>
  </si>
  <si>
    <t xml:space="preserve">Texas Dance Academy</t>
  </si>
  <si>
    <t xml:space="preserve">Lone Star Ballroom</t>
  </si>
  <si>
    <t xml:space="preserve">Chicago Ballroom Studio</t>
  </si>
  <si>
    <t xml:space="preserve">Chicago</t>
  </si>
  <si>
    <t xml:space="preserve">IL</t>
  </si>
  <si>
    <t xml:space="preserve">Fred Astaire — Lincoln Park</t>
  </si>
  <si>
    <t xml:space="preserve">Arthur Murray — Chicago Loop</t>
  </si>
  <si>
    <t xml:space="preserve">Windy City Dance</t>
  </si>
  <si>
    <t xml:space="preserve">Gold Coast Ballroom</t>
  </si>
  <si>
    <t xml:space="preserve">Houston Dance Studio</t>
  </si>
  <si>
    <t xml:space="preserve">Houston</t>
  </si>
  <si>
    <t xml:space="preserve">Fred Astaire — Sugar Land</t>
  </si>
  <si>
    <t xml:space="preserve">Sugar Land</t>
  </si>
  <si>
    <t xml:space="preserve">Arthur Murray — The Woodlands</t>
  </si>
  <si>
    <t xml:space="preserve">The Woodlands</t>
  </si>
  <si>
    <t xml:space="preserve">Bayou City Ballroom</t>
  </si>
  <si>
    <t xml:space="preserve">Texas Tango Studio</t>
  </si>
  <si>
    <t xml:space="preserve">📊  Campaign Performance Dashboard</t>
  </si>
  <si>
    <t xml:space="preserve">Metric</t>
  </si>
  <si>
    <t xml:space="preserve">Formula / Source</t>
  </si>
  <si>
    <t xml:space="preserve">Count</t>
  </si>
  <si>
    <t xml:space="preserve">Target</t>
  </si>
  <si>
    <t xml:space="preserve">% of Target</t>
  </si>
  <si>
    <t xml:space="preserve">Total Studios in Directory</t>
  </si>
  <si>
    <t xml:space="preserve">From WordPress API</t>
  </si>
  <si>
    <t xml:space="preserve">Studios Contacted (any email)</t>
  </si>
  <si>
    <t xml:space="preserve">Count of non-blank emails</t>
  </si>
  <si>
    <t xml:space="preserve">Status = Email 1 Sent or beyond</t>
  </si>
  <si>
    <t xml:space="preserve">Status = Email 2 Sent or beyond</t>
  </si>
  <si>
    <t xml:space="preserve">Sequence complete</t>
  </si>
  <si>
    <t xml:space="preserve">Replies Received</t>
  </si>
  <si>
    <t xml:space="preserve">Status = Replied</t>
  </si>
  <si>
    <t xml:space="preserve">Listings Claimed</t>
  </si>
  <si>
    <t xml:space="preserve">Status = Claimed or Featured</t>
  </si>
  <si>
    <t xml:space="preserve">Featured Upgrades</t>
  </si>
  <si>
    <t xml:space="preserve">Status = Featured</t>
  </si>
  <si>
    <t xml:space="preserve">MRR from Featured</t>
  </si>
  <si>
    <t xml:space="preserve">Featured x $199</t>
  </si>
  <si>
    <t xml:space="preserve">ARR from Featured</t>
  </si>
  <si>
    <t xml:space="preserve">MRR x 12</t>
  </si>
  <si>
    <t xml:space="preserve">✉️  Subject Line Quick Reference</t>
  </si>
  <si>
    <t xml:space="preserve">Subject Line Options</t>
  </si>
  <si>
    <t xml:space="preserve">Email 1 — Day 0</t>
  </si>
  <si>
    <t xml:space="preserve">A: Your [Studio Name] listing is live on Ballroom Dance Directory</t>
  </si>
  <si>
    <t xml:space="preserve">B: [Studio Name] is getting views on ballroomdancedirectory.com</t>
  </si>
  <si>
    <t xml:space="preserve">C: We listed [Studio Name] — wanted you to know</t>
  </si>
  <si>
    <t xml:space="preserve">Email 2 — Day 7</t>
  </si>
  <si>
    <t xml:space="preserve">A: Quick follow-up: your [Studio Name] listing</t>
  </si>
  <si>
    <t xml:space="preserve">B: Students are searching for dance lessons in [City]</t>
  </si>
  <si>
    <t xml:space="preserve">C: Re: [Studio Name] on Ballroom Dance Directory</t>
  </si>
  <si>
    <t xml:space="preserve">Email 3 — Day 14</t>
  </si>
  <si>
    <t xml:space="preserve">A: Last note about [Studio Name]</t>
  </si>
  <si>
    <t xml:space="preserve">B: Should I remove [Studio Name] from the directory?</t>
  </si>
  <si>
    <t xml:space="preserve">C: One last thing about your listing</t>
  </si>
  <si>
    <t xml:space="preserve">🔄  Personalization Variables</t>
  </si>
  <si>
    <t xml:space="preserve">Variable</t>
  </si>
  <si>
    <t xml:space="preserve">Replace with</t>
  </si>
  <si>
    <t xml:space="preserve">[First Name]</t>
  </si>
  <si>
    <t xml:space="preserve">Studio owner or manager first name (use 'there' if unknown)</t>
  </si>
  <si>
    <t xml:space="preserve">[Studio Name]</t>
  </si>
  <si>
    <t xml:space="preserve">Full studio name as listed on the directory</t>
  </si>
  <si>
    <t xml:space="preserve">[City]</t>
  </si>
  <si>
    <t xml:space="preserve">City the studio is located in</t>
  </si>
  <si>
    <t xml:space="preserve">[studio-slug]</t>
  </si>
  <si>
    <t xml:space="preserve">URL slug from ballroomdancedirectory.com/studios/[slug]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</si>
</sst>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C142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1"/>
      <color rgb="FF6B7280"/>
      <name val="Arial"/>
      <family val="0"/>
      <charset val="1"/>
    </font>
    <font>
      <sz val="10"/>
      <color rgb="FF0C142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B8922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1428"/>
        <bgColor rgb="FF000000"/>
      </patternFill>
    </fill>
    <fill>
      <patternFill patternType="solid">
        <fgColor rgb="FFB8922A"/>
        <bgColor rgb="FF969696"/>
      </patternFill>
    </fill>
    <fill>
      <patternFill patternType="solid">
        <fgColor rgb="FFF3F4F6"/>
        <bgColor rgb="FFFDF8F0"/>
      </patternFill>
    </fill>
    <fill>
      <patternFill patternType="solid">
        <fgColor rgb="FFFFFFFF"/>
        <bgColor rgb="FFFDF8F0"/>
      </patternFill>
    </fill>
    <fill>
      <patternFill patternType="solid">
        <fgColor rgb="FFFDF8F0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922A"/>
      <rgbColor rgb="FF800080"/>
      <rgbColor rgb="FF008080"/>
      <rgbColor rgb="FFC0C0C0"/>
      <rgbColor rgb="FF808080"/>
      <rgbColor rgb="FF9999FF"/>
      <rgbColor rgb="FF993366"/>
      <rgbColor rgb="FFFDF8F0"/>
      <rgbColor rgb="FFF3F4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C14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12" min="9" style="0" width="14"/>
    <col collapsed="false" customWidth="true" hidden="false" outlineLevel="0" max="14" min="13" style="0" width="10"/>
    <col collapsed="false" customWidth="true" hidden="false" outlineLevel="0" max="15" min="15" style="0" width="30"/>
    <col collapsed="false" customWidth="true" hidden="false" outlineLevel="0" max="16" min="16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customFormat="false" ht="18" hidden="false" customHeight="tru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/>
      <c r="G3" s="3"/>
      <c r="H3" s="3"/>
      <c r="L3" s="4" t="s">
        <v>22</v>
      </c>
      <c r="M3" s="5" t="s">
        <v>23</v>
      </c>
      <c r="N3" s="5" t="s">
        <v>24</v>
      </c>
    </row>
    <row r="4" customFormat="false" ht="18" hidden="false" customHeight="true" outlineLevel="0" collapsed="false">
      <c r="A4" s="6" t="s">
        <v>25</v>
      </c>
      <c r="B4" s="6" t="s">
        <v>18</v>
      </c>
      <c r="C4" s="6" t="s">
        <v>19</v>
      </c>
      <c r="D4" s="6" t="s">
        <v>26</v>
      </c>
      <c r="E4" s="6" t="s">
        <v>27</v>
      </c>
      <c r="F4" s="6"/>
      <c r="G4" s="6"/>
      <c r="H4" s="6"/>
      <c r="L4" s="4" t="s">
        <v>22</v>
      </c>
      <c r="M4" s="7" t="s">
        <v>23</v>
      </c>
      <c r="N4" s="7" t="s">
        <v>24</v>
      </c>
    </row>
    <row r="5" customFormat="false" ht="18" hidden="false" customHeight="true" outlineLevel="0" collapsed="false">
      <c r="A5" s="3" t="s">
        <v>28</v>
      </c>
      <c r="B5" s="3" t="s">
        <v>18</v>
      </c>
      <c r="C5" s="3" t="s">
        <v>19</v>
      </c>
      <c r="D5" s="3" t="s">
        <v>29</v>
      </c>
      <c r="E5" s="3" t="s">
        <v>30</v>
      </c>
      <c r="F5" s="3"/>
      <c r="G5" s="3"/>
      <c r="H5" s="3"/>
      <c r="L5" s="4" t="s">
        <v>22</v>
      </c>
      <c r="M5" s="5" t="s">
        <v>23</v>
      </c>
      <c r="N5" s="5" t="s">
        <v>24</v>
      </c>
    </row>
    <row r="6" customFormat="false" ht="18" hidden="false" customHeight="true" outlineLevel="0" collapsed="false">
      <c r="A6" s="6" t="s">
        <v>31</v>
      </c>
      <c r="B6" s="6" t="s">
        <v>18</v>
      </c>
      <c r="C6" s="6" t="s">
        <v>19</v>
      </c>
      <c r="D6" s="6" t="s">
        <v>20</v>
      </c>
      <c r="E6" s="6"/>
      <c r="F6" s="6"/>
      <c r="G6" s="6"/>
      <c r="H6" s="6"/>
      <c r="L6" s="4" t="s">
        <v>22</v>
      </c>
      <c r="M6" s="7" t="s">
        <v>23</v>
      </c>
      <c r="N6" s="7" t="s">
        <v>24</v>
      </c>
    </row>
    <row r="7" customFormat="false" ht="18" hidden="false" customHeight="true" outlineLevel="0" collapsed="false">
      <c r="A7" s="3" t="s">
        <v>32</v>
      </c>
      <c r="B7" s="3" t="s">
        <v>18</v>
      </c>
      <c r="C7" s="3" t="s">
        <v>19</v>
      </c>
      <c r="D7" s="3" t="s">
        <v>33</v>
      </c>
      <c r="E7" s="3" t="s">
        <v>34</v>
      </c>
      <c r="F7" s="3"/>
      <c r="G7" s="3"/>
      <c r="H7" s="3"/>
      <c r="L7" s="4" t="s">
        <v>22</v>
      </c>
      <c r="M7" s="5" t="s">
        <v>23</v>
      </c>
      <c r="N7" s="5" t="s">
        <v>24</v>
      </c>
    </row>
    <row r="8" customFormat="false" ht="18" hidden="false" customHeight="true" outlineLevel="0" collapsed="false">
      <c r="A8" s="6" t="s">
        <v>35</v>
      </c>
      <c r="B8" s="6" t="s">
        <v>36</v>
      </c>
      <c r="C8" s="6" t="s">
        <v>37</v>
      </c>
      <c r="D8" s="6" t="s">
        <v>20</v>
      </c>
      <c r="E8" s="6"/>
      <c r="F8" s="6"/>
      <c r="G8" s="6"/>
      <c r="H8" s="6"/>
      <c r="L8" s="4" t="s">
        <v>22</v>
      </c>
      <c r="M8" s="7" t="s">
        <v>23</v>
      </c>
      <c r="N8" s="7" t="s">
        <v>24</v>
      </c>
    </row>
    <row r="9" customFormat="false" ht="18" hidden="false" customHeight="true" outlineLevel="0" collapsed="false">
      <c r="A9" s="3" t="s">
        <v>38</v>
      </c>
      <c r="B9" s="3" t="s">
        <v>36</v>
      </c>
      <c r="C9" s="3" t="s">
        <v>37</v>
      </c>
      <c r="D9" s="3" t="s">
        <v>26</v>
      </c>
      <c r="E9" s="3" t="s">
        <v>27</v>
      </c>
      <c r="F9" s="3"/>
      <c r="G9" s="3"/>
      <c r="H9" s="3"/>
      <c r="L9" s="4" t="s">
        <v>22</v>
      </c>
      <c r="M9" s="5" t="s">
        <v>23</v>
      </c>
      <c r="N9" s="5" t="s">
        <v>24</v>
      </c>
    </row>
    <row r="10" customFormat="false" ht="18" hidden="false" customHeight="true" outlineLevel="0" collapsed="false">
      <c r="A10" s="6" t="s">
        <v>39</v>
      </c>
      <c r="B10" s="6" t="s">
        <v>36</v>
      </c>
      <c r="C10" s="6" t="s">
        <v>37</v>
      </c>
      <c r="D10" s="6" t="s">
        <v>29</v>
      </c>
      <c r="E10" s="6" t="s">
        <v>30</v>
      </c>
      <c r="F10" s="6"/>
      <c r="G10" s="6"/>
      <c r="H10" s="6"/>
      <c r="L10" s="4" t="s">
        <v>22</v>
      </c>
      <c r="M10" s="7" t="s">
        <v>23</v>
      </c>
      <c r="N10" s="7" t="s">
        <v>24</v>
      </c>
    </row>
    <row r="11" customFormat="false" ht="18" hidden="false" customHeight="true" outlineLevel="0" collapsed="false">
      <c r="A11" s="3" t="s">
        <v>40</v>
      </c>
      <c r="B11" s="3" t="s">
        <v>36</v>
      </c>
      <c r="C11" s="3" t="s">
        <v>37</v>
      </c>
      <c r="D11" s="3" t="s">
        <v>20</v>
      </c>
      <c r="E11" s="3"/>
      <c r="F11" s="3"/>
      <c r="G11" s="3"/>
      <c r="H11" s="3"/>
      <c r="L11" s="4" t="s">
        <v>22</v>
      </c>
      <c r="M11" s="5" t="s">
        <v>23</v>
      </c>
      <c r="N11" s="5" t="s">
        <v>24</v>
      </c>
    </row>
    <row r="12" customFormat="false" ht="18" hidden="false" customHeight="true" outlineLevel="0" collapsed="false">
      <c r="A12" s="6" t="s">
        <v>41</v>
      </c>
      <c r="B12" s="6" t="s">
        <v>36</v>
      </c>
      <c r="C12" s="6" t="s">
        <v>37</v>
      </c>
      <c r="D12" s="6" t="s">
        <v>20</v>
      </c>
      <c r="E12" s="6"/>
      <c r="F12" s="6"/>
      <c r="G12" s="6"/>
      <c r="H12" s="6"/>
      <c r="L12" s="4" t="s">
        <v>22</v>
      </c>
      <c r="M12" s="7" t="s">
        <v>23</v>
      </c>
      <c r="N12" s="7" t="s">
        <v>24</v>
      </c>
    </row>
    <row r="13" customFormat="false" ht="18" hidden="false" customHeight="true" outlineLevel="0" collapsed="false">
      <c r="A13" s="3" t="s">
        <v>42</v>
      </c>
      <c r="B13" s="3" t="s">
        <v>43</v>
      </c>
      <c r="C13" s="3" t="s">
        <v>44</v>
      </c>
      <c r="D13" s="3" t="s">
        <v>20</v>
      </c>
      <c r="E13" s="3"/>
      <c r="F13" s="3"/>
      <c r="G13" s="3"/>
      <c r="H13" s="3"/>
      <c r="L13" s="4" t="s">
        <v>22</v>
      </c>
      <c r="M13" s="5" t="s">
        <v>23</v>
      </c>
      <c r="N13" s="5" t="s">
        <v>24</v>
      </c>
    </row>
    <row r="14" customFormat="false" ht="18" hidden="false" customHeight="true" outlineLevel="0" collapsed="false">
      <c r="A14" s="6" t="s">
        <v>45</v>
      </c>
      <c r="B14" s="6" t="s">
        <v>46</v>
      </c>
      <c r="C14" s="6" t="s">
        <v>44</v>
      </c>
      <c r="D14" s="6" t="s">
        <v>26</v>
      </c>
      <c r="E14" s="6" t="s">
        <v>27</v>
      </c>
      <c r="F14" s="6"/>
      <c r="G14" s="6"/>
      <c r="H14" s="6"/>
      <c r="L14" s="4" t="s">
        <v>22</v>
      </c>
      <c r="M14" s="7" t="s">
        <v>23</v>
      </c>
      <c r="N14" s="7" t="s">
        <v>24</v>
      </c>
    </row>
    <row r="15" customFormat="false" ht="18" hidden="false" customHeight="true" outlineLevel="0" collapsed="false">
      <c r="A15" s="3" t="s">
        <v>47</v>
      </c>
      <c r="B15" s="3" t="s">
        <v>48</v>
      </c>
      <c r="C15" s="3" t="s">
        <v>44</v>
      </c>
      <c r="D15" s="3" t="s">
        <v>29</v>
      </c>
      <c r="E15" s="3" t="s">
        <v>30</v>
      </c>
      <c r="F15" s="3"/>
      <c r="G15" s="3"/>
      <c r="H15" s="3"/>
      <c r="L15" s="4" t="s">
        <v>22</v>
      </c>
      <c r="M15" s="5" t="s">
        <v>23</v>
      </c>
      <c r="N15" s="5" t="s">
        <v>24</v>
      </c>
    </row>
    <row r="16" customFormat="false" ht="18" hidden="false" customHeight="true" outlineLevel="0" collapsed="false">
      <c r="A16" s="6" t="s">
        <v>49</v>
      </c>
      <c r="B16" s="6" t="s">
        <v>43</v>
      </c>
      <c r="C16" s="6" t="s">
        <v>44</v>
      </c>
      <c r="D16" s="6" t="s">
        <v>20</v>
      </c>
      <c r="E16" s="6"/>
      <c r="F16" s="6"/>
      <c r="G16" s="6"/>
      <c r="H16" s="6"/>
      <c r="L16" s="4" t="s">
        <v>22</v>
      </c>
      <c r="M16" s="7" t="s">
        <v>23</v>
      </c>
      <c r="N16" s="7" t="s">
        <v>24</v>
      </c>
    </row>
    <row r="17" customFormat="false" ht="18" hidden="false" customHeight="true" outlineLevel="0" collapsed="false">
      <c r="A17" s="3" t="s">
        <v>50</v>
      </c>
      <c r="B17" s="3" t="s">
        <v>43</v>
      </c>
      <c r="C17" s="3" t="s">
        <v>44</v>
      </c>
      <c r="D17" s="3" t="s">
        <v>20</v>
      </c>
      <c r="E17" s="3"/>
      <c r="F17" s="3"/>
      <c r="G17" s="3"/>
      <c r="H17" s="3"/>
      <c r="L17" s="4" t="s">
        <v>22</v>
      </c>
      <c r="M17" s="5" t="s">
        <v>23</v>
      </c>
      <c r="N17" s="5" t="s">
        <v>24</v>
      </c>
    </row>
    <row r="18" customFormat="false" ht="18" hidden="false" customHeight="true" outlineLevel="0" collapsed="false">
      <c r="A18" s="6" t="s">
        <v>51</v>
      </c>
      <c r="B18" s="6" t="s">
        <v>52</v>
      </c>
      <c r="C18" s="6" t="s">
        <v>53</v>
      </c>
      <c r="D18" s="6" t="s">
        <v>20</v>
      </c>
      <c r="E18" s="6"/>
      <c r="F18" s="6"/>
      <c r="G18" s="6"/>
      <c r="H18" s="6"/>
      <c r="L18" s="4" t="s">
        <v>22</v>
      </c>
      <c r="M18" s="7" t="s">
        <v>23</v>
      </c>
      <c r="N18" s="7" t="s">
        <v>24</v>
      </c>
    </row>
    <row r="19" customFormat="false" ht="18" hidden="false" customHeight="true" outlineLevel="0" collapsed="false">
      <c r="A19" s="3" t="s">
        <v>54</v>
      </c>
      <c r="B19" s="3" t="s">
        <v>52</v>
      </c>
      <c r="C19" s="3" t="s">
        <v>53</v>
      </c>
      <c r="D19" s="3" t="s">
        <v>26</v>
      </c>
      <c r="E19" s="3" t="s">
        <v>27</v>
      </c>
      <c r="F19" s="3"/>
      <c r="G19" s="3"/>
      <c r="H19" s="3"/>
      <c r="L19" s="4" t="s">
        <v>22</v>
      </c>
      <c r="M19" s="5" t="s">
        <v>23</v>
      </c>
      <c r="N19" s="5" t="s">
        <v>24</v>
      </c>
    </row>
    <row r="20" customFormat="false" ht="18" hidden="false" customHeight="true" outlineLevel="0" collapsed="false">
      <c r="A20" s="6" t="s">
        <v>55</v>
      </c>
      <c r="B20" s="6" t="s">
        <v>52</v>
      </c>
      <c r="C20" s="6" t="s">
        <v>53</v>
      </c>
      <c r="D20" s="6" t="s">
        <v>29</v>
      </c>
      <c r="E20" s="6" t="s">
        <v>30</v>
      </c>
      <c r="F20" s="6"/>
      <c r="G20" s="6"/>
      <c r="H20" s="6"/>
      <c r="L20" s="4" t="s">
        <v>22</v>
      </c>
      <c r="M20" s="7" t="s">
        <v>23</v>
      </c>
      <c r="N20" s="7" t="s">
        <v>24</v>
      </c>
    </row>
    <row r="21" customFormat="false" ht="18" hidden="false" customHeight="true" outlineLevel="0" collapsed="false">
      <c r="A21" s="3" t="s">
        <v>56</v>
      </c>
      <c r="B21" s="3" t="s">
        <v>52</v>
      </c>
      <c r="C21" s="3" t="s">
        <v>53</v>
      </c>
      <c r="D21" s="3" t="s">
        <v>20</v>
      </c>
      <c r="E21" s="3"/>
      <c r="F21" s="3"/>
      <c r="G21" s="3"/>
      <c r="H21" s="3"/>
      <c r="L21" s="4" t="s">
        <v>22</v>
      </c>
      <c r="M21" s="5" t="s">
        <v>23</v>
      </c>
      <c r="N21" s="5" t="s">
        <v>24</v>
      </c>
    </row>
    <row r="22" customFormat="false" ht="18" hidden="false" customHeight="true" outlineLevel="0" collapsed="false">
      <c r="A22" s="6" t="s">
        <v>57</v>
      </c>
      <c r="B22" s="6" t="s">
        <v>52</v>
      </c>
      <c r="C22" s="6" t="s">
        <v>53</v>
      </c>
      <c r="D22" s="6" t="s">
        <v>20</v>
      </c>
      <c r="E22" s="6"/>
      <c r="F22" s="6"/>
      <c r="G22" s="6"/>
      <c r="H22" s="6"/>
      <c r="L22" s="4" t="s">
        <v>22</v>
      </c>
      <c r="M22" s="7" t="s">
        <v>23</v>
      </c>
      <c r="N22" s="7" t="s">
        <v>24</v>
      </c>
    </row>
    <row r="23" customFormat="false" ht="18" hidden="false" customHeight="true" outlineLevel="0" collapsed="false">
      <c r="A23" s="3" t="s">
        <v>58</v>
      </c>
      <c r="B23" s="3" t="s">
        <v>59</v>
      </c>
      <c r="C23" s="3" t="s">
        <v>44</v>
      </c>
      <c r="D23" s="3" t="s">
        <v>20</v>
      </c>
      <c r="E23" s="3"/>
      <c r="F23" s="3"/>
      <c r="G23" s="3"/>
      <c r="H23" s="3"/>
      <c r="L23" s="4" t="s">
        <v>22</v>
      </c>
      <c r="M23" s="5" t="s">
        <v>23</v>
      </c>
      <c r="N23" s="5" t="s">
        <v>24</v>
      </c>
    </row>
    <row r="24" customFormat="false" ht="18" hidden="false" customHeight="true" outlineLevel="0" collapsed="false">
      <c r="A24" s="6" t="s">
        <v>60</v>
      </c>
      <c r="B24" s="6" t="s">
        <v>61</v>
      </c>
      <c r="C24" s="6" t="s">
        <v>44</v>
      </c>
      <c r="D24" s="6" t="s">
        <v>26</v>
      </c>
      <c r="E24" s="6" t="s">
        <v>27</v>
      </c>
      <c r="F24" s="6"/>
      <c r="G24" s="6"/>
      <c r="H24" s="6"/>
      <c r="L24" s="4" t="s">
        <v>22</v>
      </c>
      <c r="M24" s="7" t="s">
        <v>23</v>
      </c>
      <c r="N24" s="7" t="s">
        <v>24</v>
      </c>
    </row>
    <row r="25" customFormat="false" ht="18" hidden="false" customHeight="true" outlineLevel="0" collapsed="false">
      <c r="A25" s="3" t="s">
        <v>62</v>
      </c>
      <c r="B25" s="3" t="s">
        <v>63</v>
      </c>
      <c r="C25" s="3" t="s">
        <v>44</v>
      </c>
      <c r="D25" s="3" t="s">
        <v>29</v>
      </c>
      <c r="E25" s="3" t="s">
        <v>30</v>
      </c>
      <c r="F25" s="3"/>
      <c r="G25" s="3"/>
      <c r="H25" s="3"/>
      <c r="L25" s="4" t="s">
        <v>22</v>
      </c>
      <c r="M25" s="5" t="s">
        <v>23</v>
      </c>
      <c r="N25" s="5" t="s">
        <v>24</v>
      </c>
    </row>
    <row r="26" customFormat="false" ht="18" hidden="false" customHeight="true" outlineLevel="0" collapsed="false">
      <c r="A26" s="6" t="s">
        <v>64</v>
      </c>
      <c r="B26" s="6" t="s">
        <v>59</v>
      </c>
      <c r="C26" s="6" t="s">
        <v>44</v>
      </c>
      <c r="D26" s="6" t="s">
        <v>20</v>
      </c>
      <c r="E26" s="6"/>
      <c r="F26" s="6"/>
      <c r="G26" s="6"/>
      <c r="H26" s="6"/>
      <c r="L26" s="4" t="s">
        <v>22</v>
      </c>
      <c r="M26" s="7" t="s">
        <v>23</v>
      </c>
      <c r="N26" s="7" t="s">
        <v>24</v>
      </c>
    </row>
    <row r="27" customFormat="false" ht="18" hidden="false" customHeight="true" outlineLevel="0" collapsed="false">
      <c r="A27" s="3" t="s">
        <v>65</v>
      </c>
      <c r="B27" s="3" t="s">
        <v>59</v>
      </c>
      <c r="C27" s="3" t="s">
        <v>44</v>
      </c>
      <c r="D27" s="3" t="s">
        <v>20</v>
      </c>
      <c r="E27" s="3"/>
      <c r="F27" s="3"/>
      <c r="G27" s="3"/>
      <c r="H27" s="3"/>
      <c r="L27" s="4" t="s">
        <v>22</v>
      </c>
      <c r="M27" s="5" t="s">
        <v>23</v>
      </c>
      <c r="N27" s="5" t="s">
        <v>24</v>
      </c>
    </row>
  </sheetData>
  <mergeCells count="1">
    <mergeCell ref="A1:P1"/>
  </mergeCells>
  <dataValidations count="3">
    <dataValidation allowBlank="true" errorStyle="stop" operator="between" showDropDown="false" showErrorMessage="false" showInputMessage="false" sqref="L3:L1000" type="list">
      <formula1>"Not Started,Email 1 Sent,Email 2 Sent,Email 3 Sent,Replied,Claimed,Featured,Not Interested,Remove"</formula1>
      <formula2>0</formula2>
    </dataValidation>
    <dataValidation allowBlank="true" errorStyle="stop" operator="between" showDropDown="false" showErrorMessage="false" showInputMessage="false" sqref="M3:M1000" type="list">
      <formula1>"Yes,No"</formula1>
      <formula2>0</formula2>
    </dataValidation>
    <dataValidation allowBlank="true" errorStyle="stop" operator="between" showDropDown="false" showErrorMessage="false" showInputMessage="false" sqref="N3:N1000" type="list">
      <formula1>"free,claimed,paid"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" t="s">
        <v>66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12</v>
      </c>
    </row>
    <row r="3" customFormat="false" ht="19.5" hidden="false" customHeight="true" outlineLevel="0" collapsed="false">
      <c r="A3" s="8" t="s">
        <v>72</v>
      </c>
      <c r="B3" s="9" t="s">
        <v>73</v>
      </c>
      <c r="C3" s="10" t="n">
        <v>932</v>
      </c>
      <c r="D3" s="11" t="n">
        <v>932</v>
      </c>
      <c r="E3" s="12" t="n">
        <f aca="false">C3/D3</f>
        <v>1</v>
      </c>
    </row>
    <row r="4" customFormat="false" ht="19.5" hidden="false" customHeight="true" outlineLevel="0" collapsed="false">
      <c r="A4" s="13" t="s">
        <v>74</v>
      </c>
      <c r="B4" s="14" t="s">
        <v>75</v>
      </c>
      <c r="C4" s="15" t="n">
        <f aca="false">COUNTIF('Outreach Tracker'!G3:G1000,"?*")</f>
        <v>0</v>
      </c>
      <c r="D4" s="16" t="n">
        <v>932</v>
      </c>
      <c r="E4" s="17" t="n">
        <f aca="false">C4/D4</f>
        <v>0</v>
      </c>
    </row>
    <row r="5" customFormat="false" ht="19.5" hidden="false" customHeight="true" outlineLevel="0" collapsed="false">
      <c r="A5" s="8" t="s">
        <v>9</v>
      </c>
      <c r="B5" s="9" t="s">
        <v>76</v>
      </c>
      <c r="C5" s="10"/>
      <c r="D5" s="11"/>
    </row>
    <row r="6" customFormat="false" ht="19.5" hidden="false" customHeight="true" outlineLevel="0" collapsed="false">
      <c r="A6" s="13" t="s">
        <v>10</v>
      </c>
      <c r="B6" s="14" t="s">
        <v>77</v>
      </c>
      <c r="C6" s="15"/>
      <c r="D6" s="16"/>
    </row>
    <row r="7" customFormat="false" ht="19.5" hidden="false" customHeight="true" outlineLevel="0" collapsed="false">
      <c r="A7" s="8" t="s">
        <v>11</v>
      </c>
      <c r="B7" s="9" t="s">
        <v>78</v>
      </c>
      <c r="C7" s="10"/>
      <c r="D7" s="11"/>
    </row>
    <row r="8" customFormat="false" ht="19.5" hidden="false" customHeight="true" outlineLevel="0" collapsed="false">
      <c r="A8" s="13" t="s">
        <v>79</v>
      </c>
      <c r="B8" s="14" t="s">
        <v>80</v>
      </c>
      <c r="C8" s="15"/>
      <c r="D8" s="16"/>
    </row>
    <row r="9" customFormat="false" ht="19.5" hidden="false" customHeight="true" outlineLevel="0" collapsed="false">
      <c r="A9" s="8" t="s">
        <v>81</v>
      </c>
      <c r="B9" s="9" t="s">
        <v>82</v>
      </c>
      <c r="C9" s="10" t="n">
        <f aca="false">COUNTIF('Outreach Tracker'!M3:M1000,"Yes")</f>
        <v>0</v>
      </c>
      <c r="D9" s="11" t="n">
        <v>200</v>
      </c>
      <c r="E9" s="12" t="n">
        <f aca="false">C9/D9</f>
        <v>0</v>
      </c>
    </row>
    <row r="10" customFormat="false" ht="19.5" hidden="false" customHeight="true" outlineLevel="0" collapsed="false">
      <c r="A10" s="13" t="s">
        <v>83</v>
      </c>
      <c r="B10" s="14" t="s">
        <v>84</v>
      </c>
      <c r="C10" s="15" t="n">
        <f aca="false">COUNTIF('Outreach Tracker'!N3:N1000,"paid")</f>
        <v>0</v>
      </c>
      <c r="D10" s="16" t="n">
        <v>10</v>
      </c>
      <c r="E10" s="17" t="n">
        <f aca="false">C10/D10</f>
        <v>0</v>
      </c>
    </row>
    <row r="11" customFormat="false" ht="19.5" hidden="false" customHeight="true" outlineLevel="0" collapsed="false">
      <c r="A11" s="8" t="s">
        <v>85</v>
      </c>
      <c r="B11" s="9" t="s">
        <v>86</v>
      </c>
      <c r="C11" s="18" t="n">
        <f aca="false">C10*199</f>
        <v>0</v>
      </c>
      <c r="D11" s="11"/>
    </row>
    <row r="12" customFormat="false" ht="19.5" hidden="false" customHeight="true" outlineLevel="0" collapsed="false">
      <c r="A12" s="13" t="s">
        <v>87</v>
      </c>
      <c r="B12" s="14" t="s">
        <v>88</v>
      </c>
      <c r="C12" s="19" t="n">
        <f aca="false">C10*199*12</f>
        <v>0</v>
      </c>
      <c r="D12" s="16"/>
    </row>
    <row r="13" customFormat="false" ht="19.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31.5" hidden="false" customHeight="true" outlineLevel="0" collapsed="false">
      <c r="A1" s="1" t="s">
        <v>89</v>
      </c>
      <c r="B1" s="1"/>
    </row>
    <row r="2" customFormat="false" ht="15" hidden="false" customHeight="false" outlineLevel="0" collapsed="false">
      <c r="A2" s="2" t="s">
        <v>7</v>
      </c>
      <c r="B2" s="2" t="s">
        <v>90</v>
      </c>
    </row>
    <row r="3" customFormat="false" ht="18" hidden="false" customHeight="true" outlineLevel="0" collapsed="false">
      <c r="A3" s="20" t="s">
        <v>91</v>
      </c>
      <c r="B3" s="21" t="s">
        <v>92</v>
      </c>
    </row>
    <row r="4" customFormat="false" ht="18" hidden="false" customHeight="true" outlineLevel="0" collapsed="false">
      <c r="A4" s="21"/>
      <c r="B4" s="21" t="s">
        <v>93</v>
      </c>
    </row>
    <row r="5" customFormat="false" ht="18" hidden="false" customHeight="true" outlineLevel="0" collapsed="false">
      <c r="A5" s="21"/>
      <c r="B5" s="21" t="s">
        <v>94</v>
      </c>
    </row>
    <row r="6" customFormat="false" ht="18" hidden="false" customHeight="true" outlineLevel="0" collapsed="false">
      <c r="A6" s="20" t="s">
        <v>95</v>
      </c>
      <c r="B6" s="21" t="s">
        <v>96</v>
      </c>
    </row>
    <row r="7" customFormat="false" ht="18" hidden="false" customHeight="true" outlineLevel="0" collapsed="false">
      <c r="A7" s="21"/>
      <c r="B7" s="21" t="s">
        <v>97</v>
      </c>
    </row>
    <row r="8" customFormat="false" ht="18" hidden="false" customHeight="true" outlineLevel="0" collapsed="false">
      <c r="A8" s="21"/>
      <c r="B8" s="21" t="s">
        <v>98</v>
      </c>
    </row>
    <row r="9" customFormat="false" ht="18" hidden="false" customHeight="true" outlineLevel="0" collapsed="false">
      <c r="A9" s="20" t="s">
        <v>99</v>
      </c>
      <c r="B9" s="21" t="s">
        <v>100</v>
      </c>
    </row>
    <row r="10" customFormat="false" ht="18" hidden="false" customHeight="true" outlineLevel="0" collapsed="false">
      <c r="A10" s="21"/>
      <c r="B10" s="21" t="s">
        <v>101</v>
      </c>
    </row>
    <row r="11" customFormat="false" ht="18" hidden="false" customHeight="true" outlineLevel="0" collapsed="false">
      <c r="A11" s="21"/>
      <c r="B11" s="21" t="s">
        <v>102</v>
      </c>
    </row>
    <row r="14" customFormat="false" ht="27.75" hidden="false" customHeight="true" outlineLevel="0" collapsed="false">
      <c r="A14" s="22" t="s">
        <v>103</v>
      </c>
      <c r="B14" s="22"/>
    </row>
    <row r="15" customFormat="false" ht="15" hidden="false" customHeight="false" outlineLevel="0" collapsed="false">
      <c r="A15" s="2" t="s">
        <v>104</v>
      </c>
      <c r="B15" s="2" t="s">
        <v>105</v>
      </c>
    </row>
    <row r="16" customFormat="false" ht="18" hidden="false" customHeight="true" outlineLevel="0" collapsed="false">
      <c r="A16" s="23" t="s">
        <v>106</v>
      </c>
      <c r="B16" s="21" t="s">
        <v>107</v>
      </c>
    </row>
    <row r="17" customFormat="false" ht="18" hidden="false" customHeight="true" outlineLevel="0" collapsed="false">
      <c r="A17" s="24" t="s">
        <v>108</v>
      </c>
      <c r="B17" s="21" t="s">
        <v>109</v>
      </c>
    </row>
    <row r="18" customFormat="false" ht="18" hidden="false" customHeight="true" outlineLevel="0" collapsed="false">
      <c r="A18" s="23" t="s">
        <v>110</v>
      </c>
      <c r="B18" s="21" t="s">
        <v>111</v>
      </c>
    </row>
    <row r="19" customFormat="false" ht="18" hidden="false" customHeight="true" outlineLevel="0" collapsed="false">
      <c r="A19" s="24" t="s">
        <v>112</v>
      </c>
      <c r="B19" s="21" t="s">
        <v>113</v>
      </c>
    </row>
  </sheetData>
  <mergeCells count="2">
    <mergeCell ref="A1:B1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2026-04-03T01:45:45Z</dcterms:created>
  <dc:creator>openpyxl</dc:creator>
  <dc:description/>
  <dc:language>en-US</dc:language>
  <cp:lastModifiedBy/>
  <dcterms:modified xsi:type="dcterms:W3CDTF">2026-04-03T01:45:45Z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